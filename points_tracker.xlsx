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Yun — Balance Log" sheetId="2" state="visible" r:id="rId4"/>
    <sheet name="Yan — Balance Log" sheetId="3" state="visible" r:id="rId5"/>
    <sheet name="Transfer Guide" sheetId="4" state="visible" r:id="rId6"/>
    <sheet name="Budget Track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<sst xmlns="http://schemas.openxmlformats.org/spreadsheetml/2006/main" count="282" uniqueCount="153">
  <si>
    <t xml:space="preserve">Asia Trip 2026 — Points &amp; Miles Tracker</t>
  </si>
  <si>
    <t xml:space="preserve">CURRENT BALANCES</t>
  </si>
  <si>
    <t xml:space="preserve">Program</t>
  </si>
  <si>
    <t xml:space="preserve">Owner</t>
  </si>
  <si>
    <t xml:space="preserve">Current Balance</t>
  </si>
  <si>
    <t xml:space="preserve">Est. Needed</t>
  </si>
  <si>
    <t xml:space="preserve">Gap</t>
  </si>
  <si>
    <t xml:space="preserve">Status</t>
  </si>
  <si>
    <t xml:space="preserve">United MileagePlus</t>
  </si>
  <si>
    <t xml:space="preserve">Yun</t>
  </si>
  <si>
    <t xml:space="preserve">Yan</t>
  </si>
  <si>
    <t xml:space="preserve">Air Canada Aeroplan</t>
  </si>
  <si>
    <t xml:space="preserve">Delta SkyMiles</t>
  </si>
  <si>
    <t xml:space="preserve">Marriott Bonvoy</t>
  </si>
  <si>
    <t xml:space="preserve">Amex Membership Rwds</t>
  </si>
  <si>
    <t xml:space="preserve">Chase Ultimate Rwds</t>
  </si>
  <si>
    <t xml:space="preserve">AWARD REDEMPTION PLAN</t>
  </si>
  <si>
    <t xml:space="preserve">Route</t>
  </si>
  <si>
    <t xml:space="preserve">Pax</t>
  </si>
  <si>
    <t xml:space="preserve">Cost (pts each)</t>
  </si>
  <si>
    <t xml:space="preserve">Total pts</t>
  </si>
  <si>
    <t xml:space="preserve">Booked?</t>
  </si>
  <si>
    <t xml:space="preserve">EWR → Calgary (YYC)</t>
  </si>
  <si>
    <t xml:space="preserve">Air Canada Aeroplan (Yun) / Cash (Yan)</t>
  </si>
  <si>
    <t xml:space="preserve">YUN CONFIRMED ✓</t>
  </si>
  <si>
    <t xml:space="preserve">YYC → Bangkok via HKG (BKK)</t>
  </si>
  <si>
    <t xml:space="preserve">Pending</t>
  </si>
  <si>
    <t xml:space="preserve">BKK → Koh Samui (USM)</t>
  </si>
  <si>
    <t xml:space="preserve">Cash / Bangkok Air</t>
  </si>
  <si>
    <t xml:space="preserve">USM → Hong Kong (HKG)</t>
  </si>
  <si>
    <t xml:space="preserve">Bangkok Airways (cash)</t>
  </si>
  <si>
    <t xml:space="preserve">CONFIRMED ✓ THB 18,090 (~$504)</t>
  </si>
  <si>
    <t xml:space="preserve">HKG → Guangzhou (ferry/rail)</t>
  </si>
  <si>
    <t xml:space="preserve">Cash</t>
  </si>
  <si>
    <t xml:space="preserve">GZ → Shanghai (train/fly)</t>
  </si>
  <si>
    <t xml:space="preserve">Shanghai (PVG) → EWR</t>
  </si>
  <si>
    <t xml:space="preserve">Total points needed (award flights)</t>
  </si>
  <si>
    <t xml:space="preserve">Yun Yang — Points &amp; Miles Log</t>
  </si>
  <si>
    <t xml:space="preserve">Date</t>
  </si>
  <si>
    <t xml:space="preserve">Description</t>
  </si>
  <si>
    <t xml:space="preserve">Points Earned</t>
  </si>
  <si>
    <t xml:space="preserve">Points Used</t>
  </si>
  <si>
    <t xml:space="preserve">Running Balance</t>
  </si>
  <si>
    <t xml:space="preserve">Notes</t>
  </si>
  <si>
    <t xml:space="preserve">2026-05-24</t>
  </si>
  <si>
    <t xml:space="preserve">Opening balance</t>
  </si>
  <si>
    <t xml:space="preserve">EWR→YYC AC585 Oct 1 — Ref BCFAML</t>
  </si>
  <si>
    <t xml:space="preserve">Seat 16A · Flex Reward · 34,190 pts redeemed</t>
  </si>
  <si>
    <t xml:space="preserve">Bangkok Airways Cash</t>
  </si>
  <si>
    <t xml:space="preserve">USM→HKG PG807 Oct 12 — Ref FVZ2OD</t>
  </si>
  <si>
    <t xml:space="preserve">Seat 16A · THB 9,045 = ~$252 USD</t>
  </si>
  <si>
    <t xml:space="preserve">Yan Liu — Points &amp; Miles Log</t>
  </si>
  <si>
    <t xml:space="preserve">Chase Ultimate Rewards</t>
  </si>
  <si>
    <t xml:space="preserve">Transferable to United, Hyatt, etc.</t>
  </si>
  <si>
    <t xml:space="preserve">Transferable to Delta, Aeroplan, etc.</t>
  </si>
  <si>
    <t xml:space="preserve">Points Transfer Guide — Asia Trip 2026</t>
  </si>
  <si>
    <t xml:space="preserve">From Program</t>
  </si>
  <si>
    <t xml:space="preserve">→</t>
  </si>
  <si>
    <t xml:space="preserve">To Program</t>
  </si>
  <si>
    <t xml:space="preserve">Transfer Ratio</t>
  </si>
  <si>
    <t xml:space="preserve">Best For</t>
  </si>
  <si>
    <t xml:space="preserve">Tip</t>
  </si>
  <si>
    <t xml:space="preserve">Chase Ultimate Rewards (Yan)</t>
  </si>
  <si>
    <t xml:space="preserve">1 : 1</t>
  </si>
  <si>
    <t xml:space="preserve">YYC/PVG flights</t>
  </si>
  <si>
    <t xml:space="preserve">Transfer before booking — no reversal</t>
  </si>
  <si>
    <t xml:space="preserve">EWR→YYC, ANA biz</t>
  </si>
  <si>
    <t xml:space="preserve">Aeroplan has no fuel surcharges on partners</t>
  </si>
  <si>
    <t xml:space="preserve">World of Hyatt</t>
  </si>
  <si>
    <t xml:space="preserve">Hotels Bangkok/HKG</t>
  </si>
  <si>
    <t xml:space="preserve">Best hotel redemption value</t>
  </si>
  <si>
    <t xml:space="preserve">Amex Membership Rwds (Yan)</t>
  </si>
  <si>
    <t xml:space="preserve">Domestic / flexible</t>
  </si>
  <si>
    <t xml:space="preserve">Boost Yan's Delta to 335K total</t>
  </si>
  <si>
    <t xml:space="preserve">EWR→YYC upgrade</t>
  </si>
  <si>
    <t xml:space="preserve">Transfer only what you need</t>
  </si>
  <si>
    <t xml:space="preserve">ANA Mileage Club</t>
  </si>
  <si>
    <t xml:space="preserve">RTW biz redemption</t>
  </si>
  <si>
    <t xml:space="preserve">ANA biz via Aeroplan often better</t>
  </si>
  <si>
    <t xml:space="preserve">Amex Membership Rwds (Yun)</t>
  </si>
  <si>
    <t xml:space="preserve">Top up Yun Delta</t>
  </si>
  <si>
    <t xml:space="preserve">Yun has 16K — can top up easily</t>
  </si>
  <si>
    <t xml:space="preserve">Marriott Bonvoy (Yun)</t>
  </si>
  <si>
    <t xml:space="preserve">3 : 1</t>
  </si>
  <si>
    <t xml:space="preserve">Top up United miles</t>
  </si>
  <si>
    <t xml:space="preserve">60K Bonvoy = 20K United; poor rate</t>
  </si>
  <si>
    <t xml:space="preserve">Hotel stays</t>
  </si>
  <si>
    <t xml:space="preserve">varies</t>
  </si>
  <si>
    <t xml:space="preserve">Bangkok/HKG hotels</t>
  </si>
  <si>
    <t xml:space="preserve">Best value: keep for hotel stays</t>
  </si>
  <si>
    <t xml:space="preserve">KEY STRATEGY:  Yan has 46K Chase + 180K Amex = 226K transferable points. Transfer ~62K Chase → United to cover both EWR→YYC + PVG→EWR economy (2 pax × 35K each = 140K needed; combine with Yun's 33K). Alternatively, transfer Chase → Aeroplan for ANA/EVA business class (~160K for 2 pax). Keep Marriott Bonvoy for hotel stays — redemption value far exceeds cash transfer rate.</t>
  </si>
  <si>
    <t xml:space="preserve">Asia Trip 2026 — Budget Tracker</t>
  </si>
  <si>
    <t xml:space="preserve">Item</t>
  </si>
  <si>
    <t xml:space="preserve">Ref. Budget (USD)</t>
  </si>
  <si>
    <t xml:space="preserve">Actual Spent (USD)</t>
  </si>
  <si>
    <t xml:space="preserve">Currency</t>
  </si>
  <si>
    <t xml:space="preserve">Notes / Booking Ref</t>
  </si>
  <si>
    <t xml:space="preserve">── FLIGHTS ──</t>
  </si>
  <si>
    <t xml:space="preserve">EWR → YYC · Yun Yang (AC585, Oct 1)</t>
  </si>
  <si>
    <t xml:space="preserve">USD</t>
  </si>
  <si>
    <t xml:space="preserve">CONFIRMED</t>
  </si>
  <si>
    <t xml:space="preserve">Ref BCFAML · 34,190 Aeroplan pts + $39.90 fees</t>
  </si>
  <si>
    <t xml:space="preserve">EWR → YYC · Yan Liu</t>
  </si>
  <si>
    <t xml:space="preserve">pending</t>
  </si>
  <si>
    <t xml:space="preserve">Still to book</t>
  </si>
  <si>
    <t xml:space="preserve">YYC → BKK · both (est. pts redemption)</t>
  </si>
  <si>
    <t xml:space="preserve">~140K pts + fees · book before Jun 1 Aeroplan deval</t>
  </si>
  <si>
    <t xml:space="preserve">BKK → USM · both (Bangkok Airways)</t>
  </si>
  <si>
    <t xml:space="preserve">Multiple daily flights BKK→USM ~$60pp</t>
  </si>
  <si>
    <t xml:space="preserve">USM → HKG · both (PG807, Oct 12)</t>
  </si>
  <si>
    <t xml:space="preserve">Ref FVZ2OD · THB 9,045pp = ~$252pp · both confirmed</t>
  </si>
  <si>
    <t xml:space="preserve">HKG → GZ ferry or train · both</t>
  </si>
  <si>
    <t xml:space="preserve">Cotai/Turbojet ~$30pp or MTR ~$15pp</t>
  </si>
  <si>
    <t xml:space="preserve">GZ → PVG train or flight · both</t>
  </si>
  <si>
    <t xml:space="preserve">G-train ~8hr ~$50pp or fly ~2.5hr</t>
  </si>
  <si>
    <t xml:space="preserve">PVG → EWR · both (est. pts redemption)</t>
  </si>
  <si>
    <t xml:space="preserve">~175K pts + fees · search Aeroplan + United</t>
  </si>
  <si>
    <t xml:space="preserve">── HOTELS ──</t>
  </si>
  <si>
    <t xml:space="preserve">Canmore/Banff · 5 nights</t>
  </si>
  <si>
    <t xml:space="preserve">~$180/nt · book NOW — larch season sells out</t>
  </si>
  <si>
    <t xml:space="preserve">Bangkok · 10 nights</t>
  </si>
  <si>
    <t xml:space="preserve">~$90/nt mid-range · consider Marriott Bonvoy 103K pts</t>
  </si>
  <si>
    <t xml:space="preserve">Koh Samui pre-wedding · 2 nights</t>
  </si>
  <si>
    <t xml:space="preserve">Arrive Oct 7 or 8</t>
  </si>
  <si>
    <t xml:space="preserve">Hong Kong · 3 nights</t>
  </si>
  <si>
    <t xml:space="preserve">~$200/nt · consider Bonvoy or Hyatt (Chase UR)</t>
  </si>
  <si>
    <t xml:space="preserve">Guangzhou · 1 night</t>
  </si>
  <si>
    <t xml:space="preserve">Shanghai · 2 nights</t>
  </si>
  <si>
    <t xml:space="preserve">~$190/nt</t>
  </si>
  <si>
    <t xml:space="preserve">── FOOD &amp; LOCAL TRANSPORT ──</t>
  </si>
  <si>
    <t xml:space="preserve">Canada — Banff dining + car rental</t>
  </si>
  <si>
    <t xml:space="preserve">Bangkok — food, tuk-tuks, BTS</t>
  </si>
  <si>
    <t xml:space="preserve">~$50/day × 10 days for two</t>
  </si>
  <si>
    <t xml:space="preserve">Koh Samui — resort/island transfers</t>
  </si>
  <si>
    <t xml:space="preserve">Hong Kong — MTR, ferries, dim sum</t>
  </si>
  <si>
    <t xml:space="preserve">Octopus card ~$20pp</t>
  </si>
  <si>
    <t xml:space="preserve">Guangzhou + Shanghai — metro + food</t>
  </si>
  <si>
    <t xml:space="preserve">Parks Canada passes + Moraine shuttle</t>
  </si>
  <si>
    <t xml:space="preserve">CAD</t>
  </si>
  <si>
    <t xml:space="preserve">Book Parks Canada shuttle ASAP</t>
  </si>
  <si>
    <t xml:space="preserve">── ACTIVITIES &amp; MISC ──</t>
  </si>
  <si>
    <t xml:space="preserve">China tourist visas × 2</t>
  </si>
  <si>
    <t xml:space="preserve">Apply 4–6 weeks in advance at Chinese Consulate</t>
  </si>
  <si>
    <t xml:space="preserve">Travel insurance — both</t>
  </si>
  <si>
    <t xml:space="preserve">Recommended for Asia trip this length</t>
  </si>
  <si>
    <t xml:space="preserve">Bangkok temples + Ayutthaya day trip</t>
  </si>
  <si>
    <t xml:space="preserve">HK — Peak tram, Big Buddha, ferries</t>
  </si>
  <si>
    <t xml:space="preserve">Shanghai Tower + activities</t>
  </si>
  <si>
    <t xml:space="preserve">Shopping + gifts</t>
  </si>
  <si>
    <t xml:space="preserve">Contingency (~10%)</t>
  </si>
  <si>
    <t xml:space="preserve">buffer</t>
  </si>
  <si>
    <t xml:space="preserve">Total reference budget</t>
  </si>
  <si>
    <t xml:space="preserve">confirmed only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</si>
</sst>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;\-;\-"/>
    <numFmt numFmtId="167" formatCode="#,##0.00;\-;\-"/>
    <numFmt numFmtId="168" formatCode="#,##0.0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8"/>
      <color rgb="FF5A4E3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F0D0B"/>
      <name val="Arial"/>
      <family val="0"/>
      <charset val="1"/>
    </font>
    <font>
      <sz val="10"/>
      <color rgb="FF5A4E3C"/>
      <name val="Arial"/>
      <family val="0"/>
      <charset val="1"/>
    </font>
    <font>
      <b val="true"/>
      <sz val="10"/>
      <color rgb="FF0000CC"/>
      <name val="Arial"/>
      <family val="0"/>
      <charset val="1"/>
    </font>
    <font>
      <sz val="9"/>
      <color rgb="FF0F0D0B"/>
      <name val="Arial"/>
      <family val="0"/>
      <charset val="1"/>
    </font>
    <font>
      <sz val="9"/>
      <color rgb="FF5A4E3C"/>
      <name val="Arial"/>
      <family val="0"/>
      <charset val="1"/>
    </font>
    <font>
      <b val="true"/>
      <sz val="10"/>
      <color rgb="FF0F0D0B"/>
      <name val="Arial"/>
      <family val="0"/>
      <charset val="1"/>
    </font>
    <font>
      <b val="true"/>
      <sz val="9"/>
      <color rgb="FF2E66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2E6640"/>
      <name val="Arial"/>
      <family val="0"/>
      <charset val="1"/>
    </font>
    <font>
      <sz val="10"/>
      <color rgb="FFA0302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A07830"/>
      <name val="Arial"/>
      <family val="0"/>
      <charset val="1"/>
    </font>
    <font>
      <b val="true"/>
      <sz val="10"/>
      <color rgb="FF2E6640"/>
      <name val="Arial"/>
      <family val="0"/>
      <charset val="1"/>
    </font>
    <font>
      <i val="true"/>
      <sz val="9"/>
      <color rgb="FF5A4E3C"/>
      <name val="Arial"/>
      <family val="0"/>
      <charset val="1"/>
    </font>
    <font>
      <b val="true"/>
      <sz val="9"/>
      <color rgb="FF5A4E3C"/>
      <name val="Arial"/>
      <family val="0"/>
      <charset val="1"/>
    </font>
    <font>
      <sz val="9"/>
      <color rgb="FF9060A0"/>
      <name val="Arial"/>
      <family val="0"/>
      <charset val="1"/>
    </font>
    <font>
      <sz val="9"/>
      <color rgb="FFAAAAAA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F0D0B"/>
        <bgColor rgb="FF000000"/>
      </patternFill>
    </fill>
    <fill>
      <patternFill patternType="solid">
        <fgColor rgb="FFF2ECE0"/>
        <bgColor rgb="FFF8F4EE"/>
      </patternFill>
    </fill>
    <fill>
      <patternFill patternType="solid">
        <fgColor rgb="FFFFFFFF"/>
        <bgColor rgb="FFF8F4EE"/>
      </patternFill>
    </fill>
    <fill>
      <patternFill patternType="solid">
        <fgColor rgb="FFE8DFD0"/>
        <bgColor rgb="FFF0E0B8"/>
      </patternFill>
    </fill>
    <fill>
      <patternFill patternType="solid">
        <fgColor rgb="FFA07830"/>
        <bgColor rgb="FF808080"/>
      </patternFill>
    </fill>
    <fill>
      <patternFill patternType="solid">
        <fgColor rgb="FFD4E8DA"/>
        <bgColor rgb="FFE8DFD0"/>
      </patternFill>
    </fill>
    <fill>
      <patternFill patternType="solid">
        <fgColor rgb="FFF0E0B8"/>
        <bgColor rgb="FFE8DFD0"/>
      </patternFill>
    </fill>
    <fill>
      <patternFill patternType="solid">
        <fgColor rgb="FFF8F4EE"/>
        <bgColor rgb="FFF2ECE0"/>
      </patternFill>
    </fill>
    <fill>
      <patternFill patternType="solid">
        <fgColor rgb="FFF0E8F8"/>
        <bgColor rgb="FFF2ECE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4B4"/>
      </left>
      <right style="thin">
        <color rgb="FFCCC4B4"/>
      </right>
      <top style="thin">
        <color rgb="FFCCC4B4"/>
      </top>
      <bottom style="thin">
        <color rgb="FFCCC4B4"/>
      </bottom>
      <diagonal/>
    </border>
    <border diagonalUp="false" diagonalDown="false">
      <left style="medium">
        <color rgb="FFA07830"/>
      </left>
      <right/>
      <top style="thin">
        <color rgb="FFCCC4B4"/>
      </top>
      <bottom style="thin">
        <color rgb="FFCCC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2E6640"/>
      <rgbColor rgb="FF000080"/>
      <rgbColor rgb="FFA07830"/>
      <rgbColor rgb="FF800080"/>
      <rgbColor rgb="FF008080"/>
      <rgbColor rgb="FFCCC4B4"/>
      <rgbColor rgb="FF808080"/>
      <rgbColor rgb="FF9999FF"/>
      <rgbColor rgb="FF993366"/>
      <rgbColor rgb="FFF8F4EE"/>
      <rgbColor rgb="FFF0E8F8"/>
      <rgbColor rgb="FF660066"/>
      <rgbColor rgb="FFFF8080"/>
      <rgbColor rgb="FF0066CC"/>
      <rgbColor rgb="FFE8DF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ECE0"/>
      <rgbColor rgb="FFD4E8DA"/>
      <rgbColor rgb="FFFFFF99"/>
      <rgbColor rgb="FF99CCFF"/>
      <rgbColor rgb="FFFF99CC"/>
      <rgbColor rgb="FFCC99FF"/>
      <rgbColor rgb="FFF0E0B8"/>
      <rgbColor rgb="FF3366FF"/>
      <rgbColor rgb="FF33CCCC"/>
      <rgbColor rgb="FF99CC00"/>
      <rgbColor rgb="FFFFCC00"/>
      <rgbColor rgb="FFFF9900"/>
      <rgbColor rgb="FFFF6600"/>
      <rgbColor rgb="FF9060A0"/>
      <rgbColor rgb="FFAAAAAA"/>
      <rgbColor rgb="FF003366"/>
      <rgbColor rgb="FF339966"/>
      <rgbColor rgb="FF0F0D0B"/>
      <rgbColor rgb="FF333300"/>
      <rgbColor rgb="FFA03020"/>
      <rgbColor rgb="FF993366"/>
      <rgbColor rgb="FF333399"/>
      <rgbColor rgb="FF5A4E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5" min="3" style="1" width="16"/>
    <col collapsed="false" customWidth="true" hidden="false" outlineLevel="0" max="7" min="6" style="1" width="14"/>
    <col collapsed="false" customWidth="true" hidden="false" outlineLevel="0" max="8" min="8" style="1" width="2"/>
  </cols>
  <sheetData>
    <row r="1" customFormat="false" ht="6" hidden="false" customHeight="true" outlineLevel="0" collapsed="false"/>
    <row r="2" customFormat="false" ht="42" hidden="false" customHeight="true" outlineLevel="0" collapsed="false">
      <c r="B2" s="2" t="s">
        <v>0</v>
      </c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18" hidden="false" customHeight="true" outlineLevel="0" collapsed="false">
      <c r="B4" s="3" t="s">
        <v>1</v>
      </c>
      <c r="C4" s="3"/>
      <c r="D4" s="3"/>
      <c r="E4" s="3"/>
      <c r="F4" s="3"/>
      <c r="G4" s="3"/>
    </row>
    <row r="5" customFormat="false" ht="31.5" hidden="false" customHeight="true" outlineLevel="0" collapsed="false"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customFormat="false" ht="24" hidden="false" customHeight="true" outlineLevel="0" collapsed="false">
      <c r="B6" s="5" t="s">
        <v>8</v>
      </c>
      <c r="C6" s="6" t="s">
        <v>9</v>
      </c>
      <c r="D6" s="7" t="n">
        <v>33000</v>
      </c>
      <c r="E6" s="8" t="n">
        <v>70000</v>
      </c>
      <c r="F6" s="9" t="n">
        <f aca="false">IF(E6=0,"-",D6-E6)</f>
        <v>-37000</v>
      </c>
      <c r="G6" s="10" t="str">
        <f aca="false">IF(E6=0,"N/A - flexible",IF(D6&gt;=E6,"✓ Sufficient",IF(D6/E6&gt;=0.7,"Almost there","Needs top-up")))</f>
        <v>Needs top-up</v>
      </c>
    </row>
    <row r="7" customFormat="false" ht="24" hidden="false" customHeight="true" outlineLevel="0" collapsed="false">
      <c r="B7" s="11" t="s">
        <v>8</v>
      </c>
      <c r="C7" s="12" t="s">
        <v>10</v>
      </c>
      <c r="D7" s="13" t="n">
        <v>16000</v>
      </c>
      <c r="E7" s="14" t="n">
        <v>70000</v>
      </c>
      <c r="F7" s="15" t="n">
        <f aca="false">IF(E7=0,"-",D7-E7)</f>
        <v>-54000</v>
      </c>
      <c r="G7" s="16" t="str">
        <f aca="false">IF(E7=0,"N/A - flexible",IF(D7&gt;=E7,"✓ Sufficient",IF(D7/E7&gt;=0.7,"Almost there","Needs top-up")))</f>
        <v>Needs top-up</v>
      </c>
    </row>
    <row r="8" customFormat="false" ht="24" hidden="false" customHeight="true" outlineLevel="0" collapsed="false">
      <c r="B8" s="5" t="s">
        <v>11</v>
      </c>
      <c r="C8" s="6" t="s">
        <v>9</v>
      </c>
      <c r="D8" s="7" t="n">
        <v>5810</v>
      </c>
      <c r="E8" s="8" t="n">
        <v>30000</v>
      </c>
      <c r="F8" s="9" t="n">
        <f aca="false">IF(E8=0,"-",D8-E8)</f>
        <v>-24190</v>
      </c>
      <c r="G8" s="10" t="str">
        <f aca="false">IF(E8=0,"N/A - flexible",IF(D8&gt;=E8,"✓ Sufficient",IF(D8/E8&gt;=0.7,"Almost there","Needs top-up")))</f>
        <v>Needs top-up</v>
      </c>
    </row>
    <row r="9" customFormat="false" ht="24" hidden="false" customHeight="true" outlineLevel="0" collapsed="false">
      <c r="B9" s="11" t="s">
        <v>12</v>
      </c>
      <c r="C9" s="12" t="s">
        <v>9</v>
      </c>
      <c r="D9" s="13" t="n">
        <v>16393</v>
      </c>
      <c r="E9" s="14" t="n">
        <v>0</v>
      </c>
      <c r="F9" s="15" t="str">
        <f aca="false">IF(E9=0,"-",D9-E9)</f>
        <v>-</v>
      </c>
      <c r="G9" s="16" t="str">
        <f aca="false">IF(E9=0,"N/A - flexible",IF(D9&gt;=E9,"✓ Sufficient",IF(D9/E9&gt;=0.7,"Almost there","Needs top-up")))</f>
        <v>N/A - flexible</v>
      </c>
    </row>
    <row r="10" customFormat="false" ht="24" hidden="false" customHeight="true" outlineLevel="0" collapsed="false">
      <c r="B10" s="5" t="s">
        <v>12</v>
      </c>
      <c r="C10" s="6" t="s">
        <v>10</v>
      </c>
      <c r="D10" s="7" t="n">
        <v>155000</v>
      </c>
      <c r="E10" s="8" t="n">
        <v>0</v>
      </c>
      <c r="F10" s="9" t="str">
        <f aca="false">IF(E10=0,"-",D10-E10)</f>
        <v>-</v>
      </c>
      <c r="G10" s="10" t="str">
        <f aca="false">IF(E10=0,"N/A - flexible",IF(D10&gt;=E10,"✓ Sufficient",IF(D10/E10&gt;=0.7,"Almost there","Needs top-up")))</f>
        <v>N/A - flexible</v>
      </c>
    </row>
    <row r="11" customFormat="false" ht="24" hidden="false" customHeight="true" outlineLevel="0" collapsed="false">
      <c r="B11" s="11" t="s">
        <v>13</v>
      </c>
      <c r="C11" s="12" t="s">
        <v>9</v>
      </c>
      <c r="D11" s="13" t="n">
        <v>103000</v>
      </c>
      <c r="E11" s="14" t="n">
        <v>35000</v>
      </c>
      <c r="F11" s="15" t="n">
        <f aca="false">IF(E11=0,"-",D11-E11)</f>
        <v>68000</v>
      </c>
      <c r="G11" s="16" t="str">
        <f aca="false">IF(E11=0,"N/A - flexible",IF(D11&gt;=E11,"✓ Sufficient",IF(D11/E11&gt;=0.7,"Almost there","Needs top-up")))</f>
        <v>✓ Sufficient</v>
      </c>
    </row>
    <row r="12" customFormat="false" ht="24" hidden="false" customHeight="true" outlineLevel="0" collapsed="false">
      <c r="B12" s="5" t="s">
        <v>14</v>
      </c>
      <c r="C12" s="6" t="s">
        <v>9</v>
      </c>
      <c r="D12" s="7" t="n">
        <v>7000</v>
      </c>
      <c r="E12" s="8" t="n">
        <v>0</v>
      </c>
      <c r="F12" s="9" t="str">
        <f aca="false">IF(E12=0,"-",D12-E12)</f>
        <v>-</v>
      </c>
      <c r="G12" s="10" t="str">
        <f aca="false">IF(E12=0,"N/A - flexible",IF(D12&gt;=E12,"✓ Sufficient",IF(D12/E12&gt;=0.7,"Almost there","Needs top-up")))</f>
        <v>N/A - flexible</v>
      </c>
    </row>
    <row r="13" customFormat="false" ht="24" hidden="false" customHeight="true" outlineLevel="0" collapsed="false">
      <c r="B13" s="11" t="s">
        <v>14</v>
      </c>
      <c r="C13" s="12" t="s">
        <v>10</v>
      </c>
      <c r="D13" s="13" t="n">
        <v>180000</v>
      </c>
      <c r="E13" s="14" t="n">
        <v>0</v>
      </c>
      <c r="F13" s="15" t="str">
        <f aca="false">IF(E13=0,"-",D13-E13)</f>
        <v>-</v>
      </c>
      <c r="G13" s="16" t="str">
        <f aca="false">IF(E13=0,"N/A - flexible",IF(D13&gt;=E13,"✓ Sufficient",IF(D13/E13&gt;=0.7,"Almost there","Needs top-up")))</f>
        <v>N/A - flexible</v>
      </c>
    </row>
    <row r="14" customFormat="false" ht="24" hidden="false" customHeight="true" outlineLevel="0" collapsed="false">
      <c r="B14" s="5" t="s">
        <v>15</v>
      </c>
      <c r="C14" s="6" t="s">
        <v>10</v>
      </c>
      <c r="D14" s="7" t="n">
        <v>46000</v>
      </c>
      <c r="E14" s="8" t="n">
        <v>0</v>
      </c>
      <c r="F14" s="9" t="str">
        <f aca="false">IF(E14=0,"-",D14-E14)</f>
        <v>-</v>
      </c>
      <c r="G14" s="10" t="str">
        <f aca="false">IF(E14=0,"N/A - flexible",IF(D14&gt;=E14,"✓ Sufficient",IF(D14/E14&gt;=0.7,"Almost there","Needs top-up")))</f>
        <v>N/A - flexible</v>
      </c>
    </row>
    <row r="15" customFormat="false" ht="27.75" hidden="false" customHeight="true" outlineLevel="0" collapsed="false"/>
    <row r="16" customFormat="false" ht="27.75" hidden="false" customHeight="true" outlineLevel="0" collapsed="false"/>
    <row r="17" customFormat="false" ht="27.75" hidden="false" customHeight="true" outlineLevel="0" collapsed="false">
      <c r="B17" s="3" t="s">
        <v>16</v>
      </c>
      <c r="C17" s="3"/>
      <c r="D17" s="3"/>
      <c r="E17" s="3"/>
      <c r="F17" s="3"/>
      <c r="G17" s="3"/>
    </row>
    <row r="18" customFormat="false" ht="21.75" hidden="false" customHeight="true" outlineLevel="0" collapsed="false">
      <c r="B18" s="17" t="s">
        <v>17</v>
      </c>
      <c r="C18" s="17" t="s">
        <v>2</v>
      </c>
      <c r="D18" s="17" t="s">
        <v>18</v>
      </c>
      <c r="E18" s="17" t="s">
        <v>19</v>
      </c>
      <c r="F18" s="17" t="s">
        <v>20</v>
      </c>
      <c r="G18" s="17" t="s">
        <v>21</v>
      </c>
    </row>
    <row r="19" customFormat="false" ht="21.75" hidden="false" customHeight="true" outlineLevel="0" collapsed="false">
      <c r="B19" s="5" t="s">
        <v>22</v>
      </c>
      <c r="C19" s="18" t="s">
        <v>23</v>
      </c>
      <c r="D19" s="19" t="n">
        <v>1</v>
      </c>
      <c r="E19" s="20" t="n">
        <v>34190</v>
      </c>
      <c r="F19" s="21" t="n">
        <f aca="false">IF(E19=0,"-",D19*E19)</f>
        <v>34190</v>
      </c>
      <c r="G19" s="22" t="s">
        <v>24</v>
      </c>
    </row>
    <row r="20" customFormat="false" ht="21.75" hidden="false" customHeight="true" outlineLevel="0" collapsed="false">
      <c r="B20" s="11" t="s">
        <v>25</v>
      </c>
      <c r="C20" s="23" t="s">
        <v>8</v>
      </c>
      <c r="D20" s="24" t="n">
        <v>2</v>
      </c>
      <c r="E20" s="25" t="n">
        <v>35000</v>
      </c>
      <c r="F20" s="26" t="n">
        <f aca="false">IF(E20=0,"-",D20*E20)</f>
        <v>70000</v>
      </c>
      <c r="G20" s="27" t="s">
        <v>26</v>
      </c>
    </row>
    <row r="21" customFormat="false" ht="21.75" hidden="false" customHeight="true" outlineLevel="0" collapsed="false">
      <c r="B21" s="5" t="s">
        <v>27</v>
      </c>
      <c r="C21" s="18" t="s">
        <v>28</v>
      </c>
      <c r="D21" s="19" t="n">
        <v>2</v>
      </c>
      <c r="E21" s="20" t="n">
        <v>0</v>
      </c>
      <c r="F21" s="21" t="str">
        <f aca="false">IF(E21=0,"-",D21*E21)</f>
        <v>-</v>
      </c>
      <c r="G21" s="28" t="s">
        <v>26</v>
      </c>
    </row>
    <row r="22" customFormat="false" ht="21.75" hidden="false" customHeight="true" outlineLevel="0" collapsed="false">
      <c r="B22" s="11" t="s">
        <v>29</v>
      </c>
      <c r="C22" s="23" t="s">
        <v>30</v>
      </c>
      <c r="D22" s="24" t="n">
        <v>2</v>
      </c>
      <c r="E22" s="25" t="n">
        <v>0</v>
      </c>
      <c r="F22" s="26" t="str">
        <f aca="false">IF(E22=0,"-",D22*E22)</f>
        <v>-</v>
      </c>
      <c r="G22" s="22" t="s">
        <v>31</v>
      </c>
    </row>
    <row r="23" customFormat="false" ht="21.75" hidden="false" customHeight="true" outlineLevel="0" collapsed="false">
      <c r="B23" s="5" t="s">
        <v>32</v>
      </c>
      <c r="C23" s="18" t="s">
        <v>33</v>
      </c>
      <c r="D23" s="19" t="n">
        <v>2</v>
      </c>
      <c r="E23" s="20" t="n">
        <v>0</v>
      </c>
      <c r="F23" s="21" t="str">
        <f aca="false">IF(E23=0,"-",D23*E23)</f>
        <v>-</v>
      </c>
      <c r="G23" s="28" t="s">
        <v>26</v>
      </c>
    </row>
    <row r="24" customFormat="false" ht="21.75" hidden="false" customHeight="true" outlineLevel="0" collapsed="false">
      <c r="B24" s="11" t="s">
        <v>34</v>
      </c>
      <c r="C24" s="23" t="s">
        <v>33</v>
      </c>
      <c r="D24" s="24" t="n">
        <v>2</v>
      </c>
      <c r="E24" s="25" t="n">
        <v>0</v>
      </c>
      <c r="F24" s="26" t="str">
        <f aca="false">IF(E24=0,"-",D24*E24)</f>
        <v>-</v>
      </c>
      <c r="G24" s="27" t="s">
        <v>26</v>
      </c>
    </row>
    <row r="25" customFormat="false" ht="21.75" hidden="false" customHeight="true" outlineLevel="0" collapsed="false">
      <c r="B25" s="5" t="s">
        <v>35</v>
      </c>
      <c r="C25" s="18" t="s">
        <v>8</v>
      </c>
      <c r="D25" s="19" t="n">
        <v>2</v>
      </c>
      <c r="E25" s="20" t="n">
        <v>35000</v>
      </c>
      <c r="F25" s="21" t="n">
        <f aca="false">IF(E25=0,"-",D25*E25)</f>
        <v>70000</v>
      </c>
      <c r="G25" s="28" t="s">
        <v>26</v>
      </c>
    </row>
    <row r="26" customFormat="false" ht="24" hidden="false" customHeight="true" outlineLevel="0" collapsed="false">
      <c r="B26" s="29" t="s">
        <v>36</v>
      </c>
      <c r="C26" s="29"/>
      <c r="D26" s="29"/>
      <c r="E26" s="30"/>
      <c r="F26" s="31" t="n">
        <f aca="false">SUMPRODUCT((ISNUMBER(F19:F25))*1*IF(ISNUMBER(F19:F25),F19:F25,0))</f>
        <v>174190</v>
      </c>
      <c r="G26" s="30"/>
    </row>
  </sheetData>
  <mergeCells count="4">
    <mergeCell ref="B2:G2"/>
    <mergeCell ref="B4:G4"/>
    <mergeCell ref="B17:G17"/>
    <mergeCell ref="B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26"/>
    <col collapsed="false" customWidth="true" hidden="false" outlineLevel="0" max="4" min="4" style="1" width="20"/>
    <col collapsed="false" customWidth="true" hidden="false" outlineLevel="0" max="6" min="5" style="1" width="16"/>
    <col collapsed="false" customWidth="true" hidden="false" outlineLevel="0" max="7" min="7" style="1" width="18"/>
    <col collapsed="false" customWidth="true" hidden="false" outlineLevel="0" max="8" min="8" style="1" width="28"/>
    <col collapsed="false" customWidth="true" hidden="false" outlineLevel="0" max="9" min="9" style="1" width="2"/>
  </cols>
  <sheetData>
    <row r="2" customFormat="false" ht="39.75" hidden="false" customHeight="true" outlineLevel="0" collapsed="false">
      <c r="B2" s="32" t="s">
        <v>37</v>
      </c>
      <c r="C2" s="32"/>
      <c r="D2" s="32"/>
      <c r="E2" s="32"/>
      <c r="F2" s="32"/>
      <c r="G2" s="32"/>
      <c r="H2" s="32"/>
    </row>
    <row r="3" customFormat="false" ht="7.5" hidden="false" customHeight="true" outlineLevel="0" collapsed="false">
      <c r="B3" s="33"/>
      <c r="C3" s="33"/>
      <c r="D3" s="33"/>
      <c r="E3" s="33"/>
      <c r="F3" s="33"/>
      <c r="G3" s="33"/>
      <c r="H3" s="33"/>
    </row>
    <row r="4" customFormat="false" ht="21.75" hidden="false" customHeight="true" outlineLevel="0" collapsed="false">
      <c r="B4" s="17" t="s">
        <v>38</v>
      </c>
      <c r="C4" s="17" t="s">
        <v>2</v>
      </c>
      <c r="D4" s="17" t="s">
        <v>39</v>
      </c>
      <c r="E4" s="17" t="s">
        <v>40</v>
      </c>
      <c r="F4" s="17" t="s">
        <v>41</v>
      </c>
      <c r="G4" s="17" t="s">
        <v>42</v>
      </c>
      <c r="H4" s="17" t="s">
        <v>43</v>
      </c>
    </row>
    <row r="5" customFormat="false" ht="21.75" hidden="false" customHeight="true" outlineLevel="0" collapsed="false">
      <c r="B5" s="6" t="s">
        <v>44</v>
      </c>
      <c r="C5" s="5" t="s">
        <v>8</v>
      </c>
      <c r="D5" s="34" t="s">
        <v>45</v>
      </c>
      <c r="E5" s="35" t="n">
        <v>33000</v>
      </c>
      <c r="F5" s="36"/>
      <c r="G5" s="37" t="n">
        <f aca="false">SUMIF($C$5:C5,$C5,$E$5:E5)-SUMIF($C$5:C5,$C5,$F$5:F5)</f>
        <v>33000</v>
      </c>
      <c r="H5" s="38"/>
    </row>
    <row r="6" customFormat="false" ht="21.75" hidden="false" customHeight="true" outlineLevel="0" collapsed="false">
      <c r="B6" s="12" t="s">
        <v>44</v>
      </c>
      <c r="C6" s="11" t="s">
        <v>11</v>
      </c>
      <c r="D6" s="39" t="s">
        <v>45</v>
      </c>
      <c r="E6" s="40" t="n">
        <v>40000</v>
      </c>
      <c r="F6" s="41"/>
      <c r="G6" s="42" t="n">
        <f aca="false">SUMIF($C$5:C6,$C6,$E$5:E6)-SUMIF($C$5:C6,$C6,$F$5:F6)</f>
        <v>40000</v>
      </c>
      <c r="H6" s="43"/>
    </row>
    <row r="7" customFormat="false" ht="21.75" hidden="false" customHeight="true" outlineLevel="0" collapsed="false">
      <c r="B7" s="6" t="s">
        <v>44</v>
      </c>
      <c r="C7" s="5" t="s">
        <v>12</v>
      </c>
      <c r="D7" s="34" t="s">
        <v>45</v>
      </c>
      <c r="E7" s="35" t="n">
        <v>16393</v>
      </c>
      <c r="F7" s="36"/>
      <c r="G7" s="37" t="n">
        <f aca="false">SUMIF($C$5:C7,$C7,$E$5:E7)-SUMIF($C$5:C7,$C7,$F$5:F7)</f>
        <v>16393</v>
      </c>
      <c r="H7" s="38"/>
    </row>
    <row r="8" customFormat="false" ht="21.75" hidden="false" customHeight="true" outlineLevel="0" collapsed="false">
      <c r="B8" s="12" t="s">
        <v>44</v>
      </c>
      <c r="C8" s="11" t="s">
        <v>13</v>
      </c>
      <c r="D8" s="39" t="s">
        <v>45</v>
      </c>
      <c r="E8" s="40" t="n">
        <v>103000</v>
      </c>
      <c r="F8" s="41"/>
      <c r="G8" s="42" t="n">
        <f aca="false">SUMIF($C$5:C8,$C8,$E$5:E8)-SUMIF($C$5:C8,$C8,$F$5:F8)</f>
        <v>103000</v>
      </c>
      <c r="H8" s="43"/>
    </row>
    <row r="9" customFormat="false" ht="21.75" hidden="false" customHeight="true" outlineLevel="0" collapsed="false">
      <c r="B9" s="6" t="s">
        <v>44</v>
      </c>
      <c r="C9" s="5" t="s">
        <v>14</v>
      </c>
      <c r="D9" s="34" t="s">
        <v>45</v>
      </c>
      <c r="E9" s="35" t="n">
        <v>7000</v>
      </c>
      <c r="F9" s="36"/>
      <c r="G9" s="37" t="n">
        <f aca="false">SUMIF($C$5:C9,$C9,$E$5:E9)-SUMIF($C$5:C9,$C9,$F$5:F9)</f>
        <v>7000</v>
      </c>
      <c r="H9" s="38"/>
    </row>
    <row r="10" customFormat="false" ht="21.75" hidden="false" customHeight="true" outlineLevel="0" collapsed="false">
      <c r="B10" s="44" t="s">
        <v>44</v>
      </c>
      <c r="C10" s="45" t="s">
        <v>11</v>
      </c>
      <c r="D10" s="46" t="s">
        <v>46</v>
      </c>
      <c r="E10" s="47"/>
      <c r="F10" s="48" t="n">
        <v>34190</v>
      </c>
      <c r="G10" s="49" t="n">
        <f aca="false">IF(C10="","",SUMIF($C$5:C10,$C10,$E$5:E10)-SUMIF($C$5:C10,$C10,$F$5:F10))</f>
        <v>5810</v>
      </c>
      <c r="H10" s="50" t="s">
        <v>47</v>
      </c>
    </row>
    <row r="11" customFormat="false" ht="21.75" hidden="false" customHeight="true" outlineLevel="0" collapsed="false">
      <c r="B11" s="6" t="s">
        <v>44</v>
      </c>
      <c r="C11" s="5" t="s">
        <v>48</v>
      </c>
      <c r="D11" s="34" t="s">
        <v>49</v>
      </c>
      <c r="E11" s="35"/>
      <c r="F11" s="36" t="n">
        <v>504</v>
      </c>
      <c r="G11" s="37" t="n">
        <f aca="false">IF(C11="","",SUMIF($C$5:C11,$C11,$E$5:E11)-SUMIF($C$5:C11,$C11,$F$5:F11))</f>
        <v>-504</v>
      </c>
      <c r="H11" s="38" t="s">
        <v>50</v>
      </c>
    </row>
    <row r="12" customFormat="false" ht="21.75" hidden="false" customHeight="true" outlineLevel="0" collapsed="false">
      <c r="B12" s="51"/>
      <c r="C12" s="52"/>
      <c r="D12" s="52"/>
      <c r="E12" s="53"/>
      <c r="F12" s="54"/>
      <c r="G12" s="42" t="str">
        <f aca="false">IF(C12="","",SUMIF($C$5:C12,$C12,$E$5:E12)-SUMIF($C$5:C12,$C12,$F$5:F12))</f>
        <v/>
      </c>
      <c r="H12" s="52"/>
    </row>
    <row r="13" customFormat="false" ht="21.75" hidden="false" customHeight="true" outlineLevel="0" collapsed="false">
      <c r="B13" s="55"/>
      <c r="C13" s="56"/>
      <c r="D13" s="56"/>
      <c r="E13" s="57"/>
      <c r="F13" s="58"/>
      <c r="G13" s="37" t="str">
        <f aca="false">IF(C13="","",SUMIF($C$5:C13,$C13,$E$5:E13)-SUMIF($C$5:C13,$C13,$F$5:F13))</f>
        <v/>
      </c>
      <c r="H13" s="56"/>
    </row>
    <row r="14" customFormat="false" ht="21.75" hidden="false" customHeight="true" outlineLevel="0" collapsed="false">
      <c r="B14" s="51"/>
      <c r="C14" s="52"/>
      <c r="D14" s="52"/>
      <c r="E14" s="53"/>
      <c r="F14" s="54"/>
      <c r="G14" s="42" t="str">
        <f aca="false">IF(C14="","",SUMIF($C$5:C14,$C14,$E$5:E14)-SUMIF($C$5:C14,$C14,$F$5:F14))</f>
        <v/>
      </c>
      <c r="H14" s="52"/>
    </row>
    <row r="15" customFormat="false" ht="21.75" hidden="false" customHeight="true" outlineLevel="0" collapsed="false">
      <c r="B15" s="55"/>
      <c r="C15" s="56"/>
      <c r="D15" s="56"/>
      <c r="E15" s="57"/>
      <c r="F15" s="58"/>
      <c r="G15" s="37" t="str">
        <f aca="false">IF(C15="","",SUMIF($C$5:C15,$C15,$E$5:E15)-SUMIF($C$5:C15,$C15,$F$5:F15))</f>
        <v/>
      </c>
      <c r="H15" s="56"/>
    </row>
    <row r="16" customFormat="false" ht="21.75" hidden="false" customHeight="true" outlineLevel="0" collapsed="false">
      <c r="B16" s="51"/>
      <c r="C16" s="52"/>
      <c r="D16" s="52"/>
      <c r="E16" s="53"/>
      <c r="F16" s="54"/>
      <c r="G16" s="42" t="str">
        <f aca="false">IF(C16="","",SUMIF($C$5:C16,$C16,$E$5:E16)-SUMIF($C$5:C16,$C16,$F$5:F16))</f>
        <v/>
      </c>
      <c r="H16" s="52"/>
    </row>
    <row r="17" customFormat="false" ht="21.75" hidden="false" customHeight="true" outlineLevel="0" collapsed="false">
      <c r="B17" s="55"/>
      <c r="C17" s="56"/>
      <c r="D17" s="56"/>
      <c r="E17" s="57"/>
      <c r="F17" s="58"/>
      <c r="G17" s="37" t="str">
        <f aca="false">IF(C17="","",SUMIF($C$5:C17,$C17,$E$5:E17)-SUMIF($C$5:C17,$C17,$F$5:F17))</f>
        <v/>
      </c>
      <c r="H17" s="56"/>
    </row>
    <row r="18" customFormat="false" ht="21.75" hidden="false" customHeight="true" outlineLevel="0" collapsed="false">
      <c r="B18" s="51"/>
      <c r="C18" s="52"/>
      <c r="D18" s="52"/>
      <c r="E18" s="53"/>
      <c r="F18" s="54"/>
      <c r="G18" s="42" t="str">
        <f aca="false">IF(C18="","",SUMIF($C$5:C18,$C18,$E$5:E18)-SUMIF($C$5:C18,$C18,$F$5:F18))</f>
        <v/>
      </c>
      <c r="H18" s="52"/>
    </row>
    <row r="19" customFormat="false" ht="21.75" hidden="false" customHeight="true" outlineLevel="0" collapsed="false">
      <c r="B19" s="55"/>
      <c r="C19" s="56"/>
      <c r="D19" s="56"/>
      <c r="E19" s="57"/>
      <c r="F19" s="58"/>
      <c r="G19" s="37" t="str">
        <f aca="false">IF(C19="","",SUMIF($C$5:C19,$C19,$E$5:E19)-SUMIF($C$5:C19,$C19,$F$5:F19))</f>
        <v/>
      </c>
      <c r="H19" s="56"/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26"/>
    <col collapsed="false" customWidth="true" hidden="false" outlineLevel="0" max="4" min="4" style="1" width="20"/>
    <col collapsed="false" customWidth="true" hidden="false" outlineLevel="0" max="6" min="5" style="1" width="16"/>
    <col collapsed="false" customWidth="true" hidden="false" outlineLevel="0" max="7" min="7" style="1" width="18"/>
    <col collapsed="false" customWidth="true" hidden="false" outlineLevel="0" max="8" min="8" style="1" width="28"/>
    <col collapsed="false" customWidth="true" hidden="false" outlineLevel="0" max="9" min="9" style="1" width="2"/>
  </cols>
  <sheetData>
    <row r="2" customFormat="false" ht="39.75" hidden="false" customHeight="true" outlineLevel="0" collapsed="false">
      <c r="B2" s="32" t="s">
        <v>51</v>
      </c>
      <c r="C2" s="32"/>
      <c r="D2" s="32"/>
      <c r="E2" s="32"/>
      <c r="F2" s="32"/>
      <c r="G2" s="32"/>
      <c r="H2" s="32"/>
    </row>
    <row r="3" customFormat="false" ht="7.5" hidden="false" customHeight="true" outlineLevel="0" collapsed="false">
      <c r="B3" s="33"/>
      <c r="C3" s="33"/>
      <c r="D3" s="33"/>
      <c r="E3" s="33"/>
      <c r="F3" s="33"/>
      <c r="G3" s="33"/>
      <c r="H3" s="33"/>
    </row>
    <row r="4" customFormat="false" ht="21.75" hidden="false" customHeight="true" outlineLevel="0" collapsed="false">
      <c r="B4" s="17" t="s">
        <v>38</v>
      </c>
      <c r="C4" s="17" t="s">
        <v>2</v>
      </c>
      <c r="D4" s="17" t="s">
        <v>39</v>
      </c>
      <c r="E4" s="17" t="s">
        <v>40</v>
      </c>
      <c r="F4" s="17" t="s">
        <v>41</v>
      </c>
      <c r="G4" s="17" t="s">
        <v>42</v>
      </c>
      <c r="H4" s="17" t="s">
        <v>43</v>
      </c>
    </row>
    <row r="5" customFormat="false" ht="21.75" hidden="false" customHeight="true" outlineLevel="0" collapsed="false">
      <c r="B5" s="6" t="s">
        <v>44</v>
      </c>
      <c r="C5" s="5" t="s">
        <v>52</v>
      </c>
      <c r="D5" s="34" t="s">
        <v>45</v>
      </c>
      <c r="E5" s="35" t="n">
        <v>46000</v>
      </c>
      <c r="F5" s="36"/>
      <c r="G5" s="37" t="n">
        <f aca="false">SUMIF($C$5:C5,$C5,$E$5:E5)-SUMIF($C$5:C5,$C5,$F$5:F5)</f>
        <v>46000</v>
      </c>
      <c r="H5" s="38" t="s">
        <v>53</v>
      </c>
    </row>
    <row r="6" customFormat="false" ht="21.75" hidden="false" customHeight="true" outlineLevel="0" collapsed="false">
      <c r="B6" s="12" t="s">
        <v>44</v>
      </c>
      <c r="C6" s="11" t="s">
        <v>8</v>
      </c>
      <c r="D6" s="39" t="s">
        <v>45</v>
      </c>
      <c r="E6" s="40" t="n">
        <v>16000</v>
      </c>
      <c r="F6" s="41"/>
      <c r="G6" s="42" t="n">
        <f aca="false">SUMIF($C$5:C6,$C6,$E$5:E6)-SUMIF($C$5:C6,$C6,$F$5:F6)</f>
        <v>16000</v>
      </c>
      <c r="H6" s="43"/>
    </row>
    <row r="7" customFormat="false" ht="21.75" hidden="false" customHeight="true" outlineLevel="0" collapsed="false">
      <c r="B7" s="6" t="s">
        <v>44</v>
      </c>
      <c r="C7" s="5" t="s">
        <v>12</v>
      </c>
      <c r="D7" s="34" t="s">
        <v>45</v>
      </c>
      <c r="E7" s="35" t="n">
        <v>155000</v>
      </c>
      <c r="F7" s="36"/>
      <c r="G7" s="37" t="n">
        <f aca="false">SUMIF($C$5:C7,$C7,$E$5:E7)-SUMIF($C$5:C7,$C7,$F$5:F7)</f>
        <v>155000</v>
      </c>
      <c r="H7" s="38"/>
    </row>
    <row r="8" customFormat="false" ht="21.75" hidden="false" customHeight="true" outlineLevel="0" collapsed="false">
      <c r="B8" s="12" t="s">
        <v>44</v>
      </c>
      <c r="C8" s="11" t="s">
        <v>14</v>
      </c>
      <c r="D8" s="39" t="s">
        <v>45</v>
      </c>
      <c r="E8" s="40" t="n">
        <v>180000</v>
      </c>
      <c r="F8" s="41"/>
      <c r="G8" s="42" t="n">
        <f aca="false">SUMIF($C$5:C8,$C8,$E$5:E8)-SUMIF($C$5:C8,$C8,$F$5:F8)</f>
        <v>180000</v>
      </c>
      <c r="H8" s="43" t="s">
        <v>54</v>
      </c>
    </row>
    <row r="9" customFormat="false" ht="21.75" hidden="false" customHeight="true" outlineLevel="0" collapsed="false">
      <c r="B9" s="55"/>
      <c r="C9" s="56"/>
      <c r="D9" s="56"/>
      <c r="E9" s="57"/>
      <c r="F9" s="58"/>
      <c r="G9" s="37" t="str">
        <f aca="false">IF(C9="","",SUMIF($C$5:C9,$C9,$E$5:E9)-SUMIF($C$5:C9,$C9,$F$5:F9))</f>
        <v/>
      </c>
      <c r="H9" s="56"/>
    </row>
    <row r="10" customFormat="false" ht="21.75" hidden="false" customHeight="true" outlineLevel="0" collapsed="false">
      <c r="B10" s="51"/>
      <c r="C10" s="52"/>
      <c r="D10" s="52"/>
      <c r="E10" s="53"/>
      <c r="F10" s="54"/>
      <c r="G10" s="42" t="str">
        <f aca="false">IF(C10="","",SUMIF($C$5:C10,$C10,$E$5:E10)-SUMIF($C$5:C10,$C10,$F$5:F10))</f>
        <v/>
      </c>
      <c r="H10" s="52"/>
    </row>
    <row r="11" customFormat="false" ht="21.75" hidden="false" customHeight="true" outlineLevel="0" collapsed="false">
      <c r="B11" s="55"/>
      <c r="C11" s="56"/>
      <c r="D11" s="56"/>
      <c r="E11" s="57"/>
      <c r="F11" s="58"/>
      <c r="G11" s="37" t="str">
        <f aca="false">IF(C11="","",SUMIF($C$5:C11,$C11,$E$5:E11)-SUMIF($C$5:C11,$C11,$F$5:F11))</f>
        <v/>
      </c>
      <c r="H11" s="56"/>
    </row>
    <row r="12" customFormat="false" ht="21.75" hidden="false" customHeight="true" outlineLevel="0" collapsed="false">
      <c r="B12" s="51"/>
      <c r="C12" s="52"/>
      <c r="D12" s="52"/>
      <c r="E12" s="53"/>
      <c r="F12" s="54"/>
      <c r="G12" s="42" t="str">
        <f aca="false">IF(C12="","",SUMIF($C$5:C12,$C12,$E$5:E12)-SUMIF($C$5:C12,$C12,$F$5:F12))</f>
        <v/>
      </c>
      <c r="H12" s="52"/>
    </row>
    <row r="13" customFormat="false" ht="21.75" hidden="false" customHeight="true" outlineLevel="0" collapsed="false">
      <c r="B13" s="55"/>
      <c r="C13" s="56"/>
      <c r="D13" s="56"/>
      <c r="E13" s="57"/>
      <c r="F13" s="58"/>
      <c r="G13" s="37" t="str">
        <f aca="false">IF(C13="","",SUMIF($C$5:C13,$C13,$E$5:E13)-SUMIF($C$5:C13,$C13,$F$5:F13))</f>
        <v/>
      </c>
      <c r="H13" s="56"/>
    </row>
    <row r="14" customFormat="false" ht="21.75" hidden="false" customHeight="true" outlineLevel="0" collapsed="false">
      <c r="B14" s="51"/>
      <c r="C14" s="52"/>
      <c r="D14" s="52"/>
      <c r="E14" s="53"/>
      <c r="F14" s="54"/>
      <c r="G14" s="42" t="str">
        <f aca="false">IF(C14="","",SUMIF($C$5:C14,$C14,$E$5:E14)-SUMIF($C$5:C14,$C14,$F$5:F14))</f>
        <v/>
      </c>
      <c r="H14" s="52"/>
    </row>
    <row r="15" customFormat="false" ht="21.75" hidden="false" customHeight="true" outlineLevel="0" collapsed="false">
      <c r="B15" s="55"/>
      <c r="C15" s="56"/>
      <c r="D15" s="56"/>
      <c r="E15" s="57"/>
      <c r="F15" s="58"/>
      <c r="G15" s="37" t="str">
        <f aca="false">IF(C15="","",SUMIF($C$5:C15,$C15,$E$5:E15)-SUMIF($C$5:C15,$C15,$F$5:F15))</f>
        <v/>
      </c>
      <c r="H15" s="56"/>
    </row>
    <row r="16" customFormat="false" ht="21.75" hidden="false" customHeight="true" outlineLevel="0" collapsed="false">
      <c r="B16" s="51"/>
      <c r="C16" s="52"/>
      <c r="D16" s="52"/>
      <c r="E16" s="53"/>
      <c r="F16" s="54"/>
      <c r="G16" s="42" t="str">
        <f aca="false">IF(C16="","",SUMIF($C$5:C16,$C16,$E$5:E16)-SUMIF($C$5:C16,$C16,$F$5:F16))</f>
        <v/>
      </c>
      <c r="H16" s="52"/>
    </row>
    <row r="17" customFormat="false" ht="21.75" hidden="false" customHeight="true" outlineLevel="0" collapsed="false">
      <c r="B17" s="55"/>
      <c r="C17" s="56"/>
      <c r="D17" s="56"/>
      <c r="E17" s="57"/>
      <c r="F17" s="58"/>
      <c r="G17" s="37" t="str">
        <f aca="false">IF(C17="","",SUMIF($C$5:C17,$C17,$E$5:E17)-SUMIF($C$5:C17,$C17,$F$5:F17))</f>
        <v/>
      </c>
      <c r="H17" s="56"/>
    </row>
    <row r="18" customFormat="false" ht="21.75" hidden="false" customHeight="true" outlineLevel="0" collapsed="false">
      <c r="B18" s="51"/>
      <c r="C18" s="52"/>
      <c r="D18" s="52"/>
      <c r="E18" s="53"/>
      <c r="F18" s="54"/>
      <c r="G18" s="42" t="str">
        <f aca="false">IF(C18="","",SUMIF($C$5:C18,$C18,$E$5:E18)-SUMIF($C$5:C18,$C18,$F$5:F18))</f>
        <v/>
      </c>
      <c r="H18" s="52"/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4"/>
    <col collapsed="false" customWidth="true" hidden="false" outlineLevel="0" max="4" min="4" style="1" width="26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32"/>
    <col collapsed="false" customWidth="true" hidden="false" outlineLevel="0" max="8" min="8" style="1" width="2"/>
  </cols>
  <sheetData>
    <row r="2" customFormat="false" ht="39.75" hidden="false" customHeight="true" outlineLevel="0" collapsed="false">
      <c r="B2" s="32" t="s">
        <v>55</v>
      </c>
      <c r="C2" s="32"/>
      <c r="D2" s="32"/>
      <c r="E2" s="32"/>
      <c r="F2" s="32"/>
      <c r="G2" s="32"/>
    </row>
    <row r="3" customFormat="false" ht="7.5" hidden="false" customHeight="true" outlineLevel="0" collapsed="false">
      <c r="B3" s="33"/>
      <c r="C3" s="33"/>
      <c r="D3" s="33"/>
      <c r="E3" s="33"/>
      <c r="F3" s="33"/>
      <c r="G3" s="33"/>
    </row>
    <row r="4" customFormat="false" ht="21.75" hidden="false" customHeight="true" outlineLevel="0" collapsed="false">
      <c r="B4" s="4" t="s">
        <v>56</v>
      </c>
      <c r="C4" s="4" t="s">
        <v>57</v>
      </c>
      <c r="D4" s="4" t="s">
        <v>58</v>
      </c>
      <c r="E4" s="4" t="s">
        <v>59</v>
      </c>
      <c r="F4" s="4" t="s">
        <v>60</v>
      </c>
      <c r="G4" s="4" t="s">
        <v>61</v>
      </c>
    </row>
    <row r="5" customFormat="false" ht="24" hidden="false" customHeight="true" outlineLevel="0" collapsed="false">
      <c r="B5" s="5" t="s">
        <v>62</v>
      </c>
      <c r="C5" s="59" t="s">
        <v>57</v>
      </c>
      <c r="D5" s="5" t="s">
        <v>8</v>
      </c>
      <c r="E5" s="60" t="s">
        <v>63</v>
      </c>
      <c r="F5" s="5" t="s">
        <v>64</v>
      </c>
      <c r="G5" s="38" t="s">
        <v>65</v>
      </c>
    </row>
    <row r="6" customFormat="false" ht="24" hidden="false" customHeight="true" outlineLevel="0" collapsed="false">
      <c r="B6" s="11" t="s">
        <v>62</v>
      </c>
      <c r="C6" s="61" t="s">
        <v>57</v>
      </c>
      <c r="D6" s="11" t="s">
        <v>11</v>
      </c>
      <c r="E6" s="62" t="s">
        <v>63</v>
      </c>
      <c r="F6" s="11" t="s">
        <v>66</v>
      </c>
      <c r="G6" s="43" t="s">
        <v>67</v>
      </c>
    </row>
    <row r="7" customFormat="false" ht="24" hidden="false" customHeight="true" outlineLevel="0" collapsed="false">
      <c r="B7" s="5" t="s">
        <v>62</v>
      </c>
      <c r="C7" s="59" t="s">
        <v>57</v>
      </c>
      <c r="D7" s="5" t="s">
        <v>68</v>
      </c>
      <c r="E7" s="60" t="s">
        <v>63</v>
      </c>
      <c r="F7" s="5" t="s">
        <v>69</v>
      </c>
      <c r="G7" s="38" t="s">
        <v>70</v>
      </c>
    </row>
    <row r="8" customFormat="false" ht="24" hidden="false" customHeight="true" outlineLevel="0" collapsed="false">
      <c r="B8" s="11" t="s">
        <v>71</v>
      </c>
      <c r="C8" s="61" t="s">
        <v>57</v>
      </c>
      <c r="D8" s="11" t="s">
        <v>12</v>
      </c>
      <c r="E8" s="62" t="s">
        <v>63</v>
      </c>
      <c r="F8" s="11" t="s">
        <v>72</v>
      </c>
      <c r="G8" s="43" t="s">
        <v>73</v>
      </c>
    </row>
    <row r="9" customFormat="false" ht="24" hidden="false" customHeight="true" outlineLevel="0" collapsed="false">
      <c r="B9" s="5" t="s">
        <v>71</v>
      </c>
      <c r="C9" s="59" t="s">
        <v>57</v>
      </c>
      <c r="D9" s="5" t="s">
        <v>11</v>
      </c>
      <c r="E9" s="60" t="s">
        <v>63</v>
      </c>
      <c r="F9" s="5" t="s">
        <v>74</v>
      </c>
      <c r="G9" s="38" t="s">
        <v>75</v>
      </c>
    </row>
    <row r="10" customFormat="false" ht="24" hidden="false" customHeight="true" outlineLevel="0" collapsed="false">
      <c r="B10" s="11" t="s">
        <v>71</v>
      </c>
      <c r="C10" s="61" t="s">
        <v>57</v>
      </c>
      <c r="D10" s="11" t="s">
        <v>76</v>
      </c>
      <c r="E10" s="62" t="s">
        <v>63</v>
      </c>
      <c r="F10" s="11" t="s">
        <v>77</v>
      </c>
      <c r="G10" s="43" t="s">
        <v>78</v>
      </c>
    </row>
    <row r="11" customFormat="false" ht="24" hidden="false" customHeight="true" outlineLevel="0" collapsed="false">
      <c r="B11" s="5" t="s">
        <v>79</v>
      </c>
      <c r="C11" s="59" t="s">
        <v>57</v>
      </c>
      <c r="D11" s="5" t="s">
        <v>12</v>
      </c>
      <c r="E11" s="60" t="s">
        <v>63</v>
      </c>
      <c r="F11" s="5" t="s">
        <v>80</v>
      </c>
      <c r="G11" s="38" t="s">
        <v>81</v>
      </c>
    </row>
    <row r="12" customFormat="false" ht="24" hidden="false" customHeight="true" outlineLevel="0" collapsed="false">
      <c r="B12" s="11" t="s">
        <v>82</v>
      </c>
      <c r="C12" s="61" t="s">
        <v>57</v>
      </c>
      <c r="D12" s="11" t="s">
        <v>8</v>
      </c>
      <c r="E12" s="62" t="s">
        <v>83</v>
      </c>
      <c r="F12" s="11" t="s">
        <v>84</v>
      </c>
      <c r="G12" s="43" t="s">
        <v>85</v>
      </c>
    </row>
    <row r="13" customFormat="false" ht="24" hidden="false" customHeight="true" outlineLevel="0" collapsed="false">
      <c r="B13" s="5" t="s">
        <v>82</v>
      </c>
      <c r="C13" s="59" t="s">
        <v>57</v>
      </c>
      <c r="D13" s="5" t="s">
        <v>86</v>
      </c>
      <c r="E13" s="60" t="s">
        <v>87</v>
      </c>
      <c r="F13" s="5" t="s">
        <v>88</v>
      </c>
      <c r="G13" s="38" t="s">
        <v>89</v>
      </c>
    </row>
    <row r="15" customFormat="false" ht="13.5" hidden="false" customHeight="true" outlineLevel="0" collapsed="false"/>
    <row r="16" customFormat="false" ht="55.5" hidden="false" customHeight="true" outlineLevel="0" collapsed="false">
      <c r="B16" s="63" t="s">
        <v>90</v>
      </c>
      <c r="C16" s="63"/>
      <c r="D16" s="63"/>
      <c r="E16" s="63"/>
      <c r="F16" s="63"/>
      <c r="G16" s="63"/>
    </row>
  </sheetData>
  <mergeCells count="2">
    <mergeCell ref="B2:G2"/>
    <mergeCell ref="B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4" min="3" style="1" width="18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28"/>
    <col collapsed="false" customWidth="true" hidden="false" outlineLevel="0" max="8" min="8" style="1" width="2"/>
  </cols>
  <sheetData>
    <row r="2" customFormat="false" ht="39.75" hidden="false" customHeight="true" outlineLevel="0" collapsed="false">
      <c r="B2" s="32" t="s">
        <v>91</v>
      </c>
      <c r="C2" s="32"/>
      <c r="D2" s="32"/>
      <c r="E2" s="32"/>
      <c r="F2" s="32"/>
      <c r="G2" s="32"/>
    </row>
    <row r="3" customFormat="false" ht="7.5" hidden="false" customHeight="true" outlineLevel="0" collapsed="false">
      <c r="B3" s="33"/>
      <c r="C3" s="33"/>
      <c r="D3" s="33"/>
      <c r="E3" s="33"/>
      <c r="F3" s="33"/>
      <c r="G3" s="33"/>
    </row>
    <row r="4" customFormat="false" ht="21.75" hidden="false" customHeight="true" outlineLevel="0" collapsed="false">
      <c r="B4" s="17" t="s">
        <v>92</v>
      </c>
      <c r="C4" s="17" t="s">
        <v>93</v>
      </c>
      <c r="D4" s="17" t="s">
        <v>94</v>
      </c>
      <c r="E4" s="17" t="s">
        <v>95</v>
      </c>
      <c r="F4" s="17" t="s">
        <v>7</v>
      </c>
      <c r="G4" s="17" t="s">
        <v>96</v>
      </c>
    </row>
    <row r="5" customFormat="false" ht="21.75" hidden="false" customHeight="true" outlineLevel="0" collapsed="false">
      <c r="B5" s="64" t="s">
        <v>97</v>
      </c>
      <c r="C5" s="64"/>
      <c r="D5" s="64"/>
      <c r="E5" s="64"/>
      <c r="F5" s="64"/>
      <c r="G5" s="64"/>
    </row>
    <row r="6" customFormat="false" ht="21.75" hidden="false" customHeight="true" outlineLevel="0" collapsed="false">
      <c r="B6" s="65" t="s">
        <v>98</v>
      </c>
      <c r="C6" s="66" t="n">
        <v>40</v>
      </c>
      <c r="D6" s="67" t="n">
        <v>39.9</v>
      </c>
      <c r="E6" s="68" t="s">
        <v>99</v>
      </c>
      <c r="F6" s="22" t="s">
        <v>100</v>
      </c>
      <c r="G6" s="69" t="s">
        <v>101</v>
      </c>
    </row>
    <row r="7" customFormat="false" ht="21.75" hidden="false" customHeight="true" outlineLevel="0" collapsed="false">
      <c r="B7" s="5" t="s">
        <v>102</v>
      </c>
      <c r="C7" s="70" t="n">
        <v>400</v>
      </c>
      <c r="D7" s="71"/>
      <c r="E7" s="28" t="s">
        <v>99</v>
      </c>
      <c r="F7" s="28" t="s">
        <v>103</v>
      </c>
      <c r="G7" s="38" t="s">
        <v>104</v>
      </c>
    </row>
    <row r="8" customFormat="false" ht="21.75" hidden="false" customHeight="true" outlineLevel="0" collapsed="false">
      <c r="B8" s="65" t="s">
        <v>105</v>
      </c>
      <c r="C8" s="66" t="n">
        <v>60</v>
      </c>
      <c r="D8" s="72"/>
      <c r="E8" s="68" t="s">
        <v>99</v>
      </c>
      <c r="F8" s="28" t="s">
        <v>103</v>
      </c>
      <c r="G8" s="69" t="s">
        <v>106</v>
      </c>
    </row>
    <row r="9" customFormat="false" ht="21.75" hidden="false" customHeight="true" outlineLevel="0" collapsed="false">
      <c r="B9" s="5" t="s">
        <v>107</v>
      </c>
      <c r="C9" s="70" t="n">
        <v>120</v>
      </c>
      <c r="D9" s="71"/>
      <c r="E9" s="28" t="s">
        <v>99</v>
      </c>
      <c r="F9" s="28" t="s">
        <v>103</v>
      </c>
      <c r="G9" s="38" t="s">
        <v>108</v>
      </c>
    </row>
    <row r="10" customFormat="false" ht="21.75" hidden="false" customHeight="true" outlineLevel="0" collapsed="false">
      <c r="B10" s="65" t="s">
        <v>109</v>
      </c>
      <c r="C10" s="66" t="n">
        <v>504</v>
      </c>
      <c r="D10" s="67" t="n">
        <v>504</v>
      </c>
      <c r="E10" s="68" t="s">
        <v>99</v>
      </c>
      <c r="F10" s="22" t="s">
        <v>100</v>
      </c>
      <c r="G10" s="69" t="s">
        <v>110</v>
      </c>
    </row>
    <row r="11" customFormat="false" ht="21.75" hidden="false" customHeight="true" outlineLevel="0" collapsed="false">
      <c r="B11" s="5" t="s">
        <v>111</v>
      </c>
      <c r="C11" s="70" t="n">
        <v>60</v>
      </c>
      <c r="D11" s="71"/>
      <c r="E11" s="28" t="s">
        <v>99</v>
      </c>
      <c r="F11" s="28" t="s">
        <v>103</v>
      </c>
      <c r="G11" s="38" t="s">
        <v>112</v>
      </c>
    </row>
    <row r="12" customFormat="false" ht="21.75" hidden="false" customHeight="true" outlineLevel="0" collapsed="false">
      <c r="B12" s="65" t="s">
        <v>113</v>
      </c>
      <c r="C12" s="66" t="n">
        <v>100</v>
      </c>
      <c r="D12" s="72"/>
      <c r="E12" s="68" t="s">
        <v>99</v>
      </c>
      <c r="F12" s="28" t="s">
        <v>103</v>
      </c>
      <c r="G12" s="69" t="s">
        <v>114</v>
      </c>
    </row>
    <row r="13" customFormat="false" ht="21.75" hidden="false" customHeight="true" outlineLevel="0" collapsed="false">
      <c r="B13" s="5" t="s">
        <v>115</v>
      </c>
      <c r="C13" s="70" t="n">
        <v>60</v>
      </c>
      <c r="D13" s="71"/>
      <c r="E13" s="28" t="s">
        <v>99</v>
      </c>
      <c r="F13" s="28" t="s">
        <v>103</v>
      </c>
      <c r="G13" s="38" t="s">
        <v>116</v>
      </c>
    </row>
    <row r="14" customFormat="false" ht="21.75" hidden="false" customHeight="true" outlineLevel="0" collapsed="false">
      <c r="B14" s="64" t="s">
        <v>117</v>
      </c>
      <c r="C14" s="64"/>
      <c r="D14" s="64"/>
      <c r="E14" s="64"/>
      <c r="F14" s="64"/>
      <c r="G14" s="64"/>
    </row>
    <row r="15" customFormat="false" ht="21.75" hidden="false" customHeight="true" outlineLevel="0" collapsed="false">
      <c r="B15" s="5" t="s">
        <v>118</v>
      </c>
      <c r="C15" s="70" t="n">
        <v>900</v>
      </c>
      <c r="D15" s="71"/>
      <c r="E15" s="28" t="s">
        <v>99</v>
      </c>
      <c r="F15" s="28" t="s">
        <v>103</v>
      </c>
      <c r="G15" s="38" t="s">
        <v>119</v>
      </c>
    </row>
    <row r="16" customFormat="false" ht="21.75" hidden="false" customHeight="true" outlineLevel="0" collapsed="false">
      <c r="B16" s="65" t="s">
        <v>120</v>
      </c>
      <c r="C16" s="66" t="n">
        <v>900</v>
      </c>
      <c r="D16" s="72"/>
      <c r="E16" s="68" t="s">
        <v>99</v>
      </c>
      <c r="F16" s="28" t="s">
        <v>103</v>
      </c>
      <c r="G16" s="69" t="s">
        <v>121</v>
      </c>
    </row>
    <row r="17" customFormat="false" ht="21.75" hidden="false" customHeight="true" outlineLevel="0" collapsed="false">
      <c r="B17" s="5" t="s">
        <v>122</v>
      </c>
      <c r="C17" s="70" t="n">
        <v>300</v>
      </c>
      <c r="D17" s="71"/>
      <c r="E17" s="28" t="s">
        <v>99</v>
      </c>
      <c r="F17" s="28" t="s">
        <v>103</v>
      </c>
      <c r="G17" s="38" t="s">
        <v>123</v>
      </c>
    </row>
    <row r="18" customFormat="false" ht="21.75" hidden="false" customHeight="true" outlineLevel="0" collapsed="false">
      <c r="B18" s="65" t="s">
        <v>124</v>
      </c>
      <c r="C18" s="66" t="n">
        <v>600</v>
      </c>
      <c r="D18" s="72"/>
      <c r="E18" s="68" t="s">
        <v>99</v>
      </c>
      <c r="F18" s="28" t="s">
        <v>103</v>
      </c>
      <c r="G18" s="69" t="s">
        <v>125</v>
      </c>
    </row>
    <row r="19" customFormat="false" ht="21.75" hidden="false" customHeight="true" outlineLevel="0" collapsed="false">
      <c r="B19" s="5" t="s">
        <v>126</v>
      </c>
      <c r="C19" s="70" t="n">
        <v>120</v>
      </c>
      <c r="D19" s="71"/>
      <c r="E19" s="28" t="s">
        <v>99</v>
      </c>
      <c r="F19" s="28" t="s">
        <v>103</v>
      </c>
      <c r="G19" s="38"/>
    </row>
    <row r="20" customFormat="false" ht="21.75" hidden="false" customHeight="true" outlineLevel="0" collapsed="false">
      <c r="B20" s="65" t="s">
        <v>127</v>
      </c>
      <c r="C20" s="66" t="n">
        <v>380</v>
      </c>
      <c r="D20" s="72"/>
      <c r="E20" s="68" t="s">
        <v>99</v>
      </c>
      <c r="F20" s="28" t="s">
        <v>103</v>
      </c>
      <c r="G20" s="69" t="s">
        <v>128</v>
      </c>
    </row>
    <row r="21" customFormat="false" ht="21.75" hidden="false" customHeight="true" outlineLevel="0" collapsed="false">
      <c r="B21" s="64" t="s">
        <v>129</v>
      </c>
      <c r="C21" s="64"/>
      <c r="D21" s="64"/>
      <c r="E21" s="64"/>
      <c r="F21" s="64"/>
      <c r="G21" s="64"/>
    </row>
    <row r="22" customFormat="false" ht="21.75" hidden="false" customHeight="true" outlineLevel="0" collapsed="false">
      <c r="B22" s="65" t="s">
        <v>130</v>
      </c>
      <c r="C22" s="66" t="n">
        <v>300</v>
      </c>
      <c r="D22" s="72"/>
      <c r="E22" s="68" t="s">
        <v>99</v>
      </c>
      <c r="F22" s="28" t="s">
        <v>103</v>
      </c>
      <c r="G22" s="69"/>
    </row>
    <row r="23" customFormat="false" ht="21.75" hidden="false" customHeight="true" outlineLevel="0" collapsed="false">
      <c r="B23" s="5" t="s">
        <v>131</v>
      </c>
      <c r="C23" s="70" t="n">
        <v>500</v>
      </c>
      <c r="D23" s="71"/>
      <c r="E23" s="28" t="s">
        <v>99</v>
      </c>
      <c r="F23" s="28" t="s">
        <v>103</v>
      </c>
      <c r="G23" s="38" t="s">
        <v>132</v>
      </c>
    </row>
    <row r="24" customFormat="false" ht="21.75" hidden="false" customHeight="true" outlineLevel="0" collapsed="false">
      <c r="B24" s="65" t="s">
        <v>133</v>
      </c>
      <c r="C24" s="66" t="n">
        <v>150</v>
      </c>
      <c r="D24" s="72"/>
      <c r="E24" s="68" t="s">
        <v>99</v>
      </c>
      <c r="F24" s="28" t="s">
        <v>103</v>
      </c>
      <c r="G24" s="69"/>
    </row>
    <row r="25" customFormat="false" ht="21.75" hidden="false" customHeight="true" outlineLevel="0" collapsed="false">
      <c r="B25" s="5" t="s">
        <v>134</v>
      </c>
      <c r="C25" s="70" t="n">
        <v>300</v>
      </c>
      <c r="D25" s="71"/>
      <c r="E25" s="28" t="s">
        <v>99</v>
      </c>
      <c r="F25" s="28" t="s">
        <v>103</v>
      </c>
      <c r="G25" s="38" t="s">
        <v>135</v>
      </c>
    </row>
    <row r="26" customFormat="false" ht="21.75" hidden="false" customHeight="true" outlineLevel="0" collapsed="false">
      <c r="B26" s="65" t="s">
        <v>136</v>
      </c>
      <c r="C26" s="66" t="n">
        <v>250</v>
      </c>
      <c r="D26" s="72"/>
      <c r="E26" s="68" t="s">
        <v>99</v>
      </c>
      <c r="F26" s="28" t="s">
        <v>103</v>
      </c>
      <c r="G26" s="69"/>
    </row>
    <row r="27" customFormat="false" ht="21.75" hidden="false" customHeight="true" outlineLevel="0" collapsed="false">
      <c r="B27" s="5" t="s">
        <v>137</v>
      </c>
      <c r="C27" s="70" t="n">
        <v>130</v>
      </c>
      <c r="D27" s="71"/>
      <c r="E27" s="28" t="s">
        <v>138</v>
      </c>
      <c r="F27" s="28" t="s">
        <v>103</v>
      </c>
      <c r="G27" s="38" t="s">
        <v>139</v>
      </c>
    </row>
    <row r="28" customFormat="false" ht="21.75" hidden="false" customHeight="true" outlineLevel="0" collapsed="false">
      <c r="B28" s="64" t="s">
        <v>140</v>
      </c>
      <c r="C28" s="64"/>
      <c r="D28" s="64"/>
      <c r="E28" s="64"/>
      <c r="F28" s="64"/>
      <c r="G28" s="64"/>
    </row>
    <row r="29" customFormat="false" ht="21.75" hidden="false" customHeight="true" outlineLevel="0" collapsed="false">
      <c r="B29" s="5" t="s">
        <v>141</v>
      </c>
      <c r="C29" s="70" t="n">
        <v>300</v>
      </c>
      <c r="D29" s="71"/>
      <c r="E29" s="28" t="s">
        <v>99</v>
      </c>
      <c r="F29" s="28" t="s">
        <v>103</v>
      </c>
      <c r="G29" s="38" t="s">
        <v>142</v>
      </c>
    </row>
    <row r="30" customFormat="false" ht="21.75" hidden="false" customHeight="true" outlineLevel="0" collapsed="false">
      <c r="B30" s="65" t="s">
        <v>143</v>
      </c>
      <c r="C30" s="66" t="n">
        <v>300</v>
      </c>
      <c r="D30" s="72"/>
      <c r="E30" s="68" t="s">
        <v>99</v>
      </c>
      <c r="F30" s="28" t="s">
        <v>103</v>
      </c>
      <c r="G30" s="69" t="s">
        <v>144</v>
      </c>
    </row>
    <row r="31" customFormat="false" ht="21.75" hidden="false" customHeight="true" outlineLevel="0" collapsed="false">
      <c r="B31" s="5" t="s">
        <v>145</v>
      </c>
      <c r="C31" s="70" t="n">
        <v>120</v>
      </c>
      <c r="D31" s="71"/>
      <c r="E31" s="28" t="s">
        <v>99</v>
      </c>
      <c r="F31" s="28" t="s">
        <v>103</v>
      </c>
      <c r="G31" s="38"/>
    </row>
    <row r="32" customFormat="false" ht="21.75" hidden="false" customHeight="true" outlineLevel="0" collapsed="false">
      <c r="B32" s="65" t="s">
        <v>146</v>
      </c>
      <c r="C32" s="66" t="n">
        <v>80</v>
      </c>
      <c r="D32" s="72"/>
      <c r="E32" s="68" t="s">
        <v>99</v>
      </c>
      <c r="F32" s="28" t="s">
        <v>103</v>
      </c>
      <c r="G32" s="69"/>
    </row>
    <row r="33" customFormat="false" ht="21.75" hidden="false" customHeight="true" outlineLevel="0" collapsed="false">
      <c r="B33" s="5" t="s">
        <v>147</v>
      </c>
      <c r="C33" s="70" t="n">
        <v>60</v>
      </c>
      <c r="D33" s="71"/>
      <c r="E33" s="28" t="s">
        <v>99</v>
      </c>
      <c r="F33" s="28" t="s">
        <v>103</v>
      </c>
      <c r="G33" s="38"/>
    </row>
    <row r="34" customFormat="false" ht="21.75" hidden="false" customHeight="true" outlineLevel="0" collapsed="false">
      <c r="B34" s="65" t="s">
        <v>148</v>
      </c>
      <c r="C34" s="66" t="n">
        <v>300</v>
      </c>
      <c r="D34" s="72"/>
      <c r="E34" s="68" t="s">
        <v>99</v>
      </c>
      <c r="F34" s="28" t="s">
        <v>103</v>
      </c>
      <c r="G34" s="69"/>
    </row>
    <row r="35" customFormat="false" ht="21.75" hidden="false" customHeight="true" outlineLevel="0" collapsed="false">
      <c r="B35" s="5" t="s">
        <v>149</v>
      </c>
      <c r="C35" s="70" t="n">
        <v>280</v>
      </c>
      <c r="D35" s="71"/>
      <c r="E35" s="28" t="s">
        <v>99</v>
      </c>
      <c r="F35" s="73" t="s">
        <v>150</v>
      </c>
      <c r="G35" s="38"/>
    </row>
    <row r="36" customFormat="false" ht="25.5" hidden="false" customHeight="true" outlineLevel="0" collapsed="false">
      <c r="B36" s="29" t="s">
        <v>151</v>
      </c>
      <c r="C36" s="29"/>
      <c r="D36" s="74" t="n">
        <f aca="false">SUMIF(F5:F35,"CONFIRMED",D5:D35)</f>
        <v>543.9</v>
      </c>
      <c r="E36" s="75" t="s">
        <v>152</v>
      </c>
      <c r="F36" s="30"/>
      <c r="G36" s="30"/>
    </row>
  </sheetData>
  <mergeCells count="6">
    <mergeCell ref="B2:G2"/>
    <mergeCell ref="B5:G5"/>
    <mergeCell ref="B14:G14"/>
    <mergeCell ref="B21:G21"/>
    <mergeCell ref="B28:G28"/>
    <mergeCell ref="B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2026-05-24T22:35:05Z</dcterms:created>
  <dc:creator>openpyxl</dc:creator>
  <dc:description/>
  <dc:language>en-US</dc:language>
  <cp:lastModifiedBy/>
  <dcterms:modified xsi:type="dcterms:W3CDTF">2026-05-25T02:34:07Z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